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spects" sheetId="2" state="visible" r:id="rId4"/>
    <sheet name="Playboo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<sst xmlns="http://schemas.openxmlformats.org/spreadsheetml/2006/main" count="80" uniqueCount="69">
  <si>
    <t xml:space="preserve">The Ops Engine — Outreach Engine</t>
  </si>
  <si>
    <t xml:space="preserve">First-revenue tracker · target 10–20 new prospects/day · 10 emails + 10 DMs</t>
  </si>
  <si>
    <t xml:space="preserve">Total prospects</t>
  </si>
  <si>
    <t xml:space="preserve">Contacted</t>
  </si>
  <si>
    <t xml:space="preserve">Replied</t>
  </si>
  <si>
    <t xml:space="preserve">Calls booked</t>
  </si>
  <si>
    <t xml:space="preserve">Clients won</t>
  </si>
  <si>
    <t xml:space="preserve">Pipeline / won $</t>
  </si>
  <si>
    <t xml:space="preserve">Reply rate</t>
  </si>
  <si>
    <t xml:space="preserve">Contact→call</t>
  </si>
  <si>
    <t xml:space="preserve">To-contact queue (work these today)</t>
  </si>
  <si>
    <t xml:space="preserve">How to use:  1) Add 10–20 businesses/day to the Prospects tab (Google Maps: "plumber near [city]" etc.; pick &lt;50 reviews, basic/no site).  2) Set Status = To contact.  3) Send from docs/outreach.md (10 emails + 10 DMs).  4) Update Status as they move.  5) Log outcomes — this dashboard updates itself.</t>
  </si>
  <si>
    <t xml:space="preserve">Date added</t>
  </si>
  <si>
    <t xml:space="preserve">Business</t>
  </si>
  <si>
    <t xml:space="preserve">Vertical</t>
  </si>
  <si>
    <t xml:space="preserve">City</t>
  </si>
  <si>
    <t xml:space="preserve">Phone</t>
  </si>
  <si>
    <t xml:space="preserve">Email</t>
  </si>
  <si>
    <t xml:space="preserve">IG / FB</t>
  </si>
  <si>
    <t xml:space="preserve">Reviews</t>
  </si>
  <si>
    <t xml:space="preserve">Website?</t>
  </si>
  <si>
    <t xml:space="preserve">Status</t>
  </si>
  <si>
    <t xml:space="preserve">Channel</t>
  </si>
  <si>
    <t xml:space="preserve">Last contact</t>
  </si>
  <si>
    <t xml:space="preserve">Follow-ups</t>
  </si>
  <si>
    <t xml:space="preserve">Demo sent?</t>
  </si>
  <si>
    <t xml:space="preserve">Replied?</t>
  </si>
  <si>
    <t xml:space="preserve">Call booked?</t>
  </si>
  <si>
    <t xml:space="preserve">Offer $</t>
  </si>
  <si>
    <t xml:space="preserve">Stage</t>
  </si>
  <si>
    <t xml:space="preserve">Notes</t>
  </si>
  <si>
    <t xml:space="preserve">2026-06-18</t>
  </si>
  <si>
    <t xml:space="preserve">ACME Plumbing (example)</t>
  </si>
  <si>
    <t xml:space="preserve">Plumber</t>
  </si>
  <si>
    <t xml:space="preserve">Austin</t>
  </si>
  <si>
    <t xml:space="preserve">512-555-0142</t>
  </si>
  <si>
    <t xml:space="preserve">jobs@acmeplumb.co</t>
  </si>
  <si>
    <t xml:space="preserve">@acmeplumbing</t>
  </si>
  <si>
    <t xml:space="preserve">23</t>
  </si>
  <si>
    <t xml:space="preserve">N</t>
  </si>
  <si>
    <t xml:space="preserve">To contact</t>
  </si>
  <si>
    <t xml:space="preserve">0</t>
  </si>
  <si>
    <t xml:space="preserve">No</t>
  </si>
  <si>
    <t xml:space="preserve">300</t>
  </si>
  <si>
    <t xml:space="preserve">Lead</t>
  </si>
  <si>
    <t xml:space="preserve">← example row, delete when you start</t>
  </si>
  <si>
    <t xml:space="preserve">Glow Med Spa (example)</t>
  </si>
  <si>
    <t xml:space="preserve">Med spa</t>
  </si>
  <si>
    <t xml:space="preserve">512-555-0199</t>
  </si>
  <si>
    <t xml:space="preserve">@glowmedspa</t>
  </si>
  <si>
    <t xml:space="preserve">41</t>
  </si>
  <si>
    <t xml:space="preserve">Y</t>
  </si>
  <si>
    <t xml:space="preserve">IG DM</t>
  </si>
  <si>
    <t xml:space="preserve">500</t>
  </si>
  <si>
    <t xml:space="preserve">under 50 reviews, no booking automation</t>
  </si>
  <si>
    <t xml:space="preserve">Outreach Playbook — Missed-Call Money Recovery</t>
  </si>
  <si>
    <t xml:space="preserve">The offer (one sentence)</t>
  </si>
  <si>
    <t xml:space="preserve">“I set up an automation that instantly texts back any call your business misses — so you stop losing jobs to whoever the customer calls next. Flat setup fee, you only pay your own texting (~pennies).”</t>
  </si>
  <si>
    <t xml:space="preserve">Targets (free, 15 min/day)</t>
  </si>
  <si>
    <t xml:space="preserve">Google Maps: “plumber near [city]”, “HVAC [city]”, “med spa [city]”. Keep ones with (a) a phone, (b) &lt;~50 reviews, (c) basic/no website. Log 10–20/day.</t>
  </si>
  <si>
    <t xml:space="preserve">Daily routine (~30 min)</t>
  </si>
  <si>
    <t xml:space="preserve">1) Add 10–20 targets.  2) Send 10 cold emails + 10 DMs.  3) Reply to responders with a 30-sec demo (use a render from /renders).  4) Book audits.  5) Update statuses + log numbers in docs/METRICS.md.</t>
  </si>
  <si>
    <t xml:space="preserve">Pricing ladder</t>
  </si>
  <si>
    <t xml:space="preserve">$300 starter (missed-call text-back) → $500–$1,500 full (text-back + speed-to-lead + review automation) → optional $99–$300/mo maintenance.</t>
  </si>
  <si>
    <t xml:space="preserve">Status legend</t>
  </si>
  <si>
    <t xml:space="preserve">To contact → Contacted → Followed up → Replied → Demo sent → Call booked → Won / Lost / Not a fit.</t>
  </si>
  <si>
    <t xml:space="preserve">Constraint</t>
  </si>
  <si>
    <t xml:space="preserve">$0 spend. The CLIENT pays their own Twilio/SMS. Never send to a real inbox without owner approval — drafts live in docs/outreach.md.</t>
  </si>
  <si>
    <t xml:space="preserve">Full scripts: docs/outreach.md  ·  Funnel wiring: docs/funnel-setup.md  ·  Decisions: docs/venture-memory.md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</si>
</sst>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B2430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20"/>
      <color rgb="FF0F6E56"/>
      <name val="Arial"/>
      <family val="0"/>
      <charset val="1"/>
    </font>
    <font>
      <b val="true"/>
      <sz val="10"/>
      <color rgb="FF1B2430"/>
      <name val="Arial"/>
      <family val="0"/>
      <charset val="1"/>
    </font>
    <font>
      <sz val="10"/>
      <color rgb="FF1B2430"/>
      <name val="Arial"/>
      <family val="0"/>
      <charset val="1"/>
    </font>
    <font>
      <sz val="9"/>
      <color rgb="FF633806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1F5EE"/>
        <bgColor rgb="FFF2FAF7"/>
      </patternFill>
    </fill>
    <fill>
      <patternFill patternType="solid">
        <fgColor rgb="FFFAEEDA"/>
        <bgColor rgb="FFF2FAF7"/>
      </patternFill>
    </fill>
    <fill>
      <patternFill patternType="solid">
        <fgColor rgb="FF0F6E56"/>
        <bgColor rgb="FF008080"/>
      </patternFill>
    </fill>
    <fill>
      <patternFill patternType="solid">
        <fgColor rgb="FFF2FA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D9"/>
      </left>
      <right style="thin">
        <color rgb="FFD5DDD9"/>
      </right>
      <top style="thin">
        <color rgb="FFD5DDD9"/>
      </top>
      <bottom style="thin">
        <color rgb="FFD5DD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C0C0"/>
      <rgbColor rgb="FF808080"/>
      <rgbColor rgb="FF9999FF"/>
      <rgbColor rgb="FF993366"/>
      <rgbColor rgb="FFFAEEDA"/>
      <rgbColor rgb="FFE1F5EE"/>
      <rgbColor rgb="FF660066"/>
      <rgbColor rgb="FFFF8080"/>
      <rgbColor rgb="FF0066CC"/>
      <rgbColor rgb="FFD5DD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A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633806"/>
      <rgbColor rgb="FF993300"/>
      <rgbColor rgb="FF993366"/>
      <rgbColor rgb="FF333399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22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1.7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</row>
    <row r="6" customFormat="false" ht="33.75" hidden="false" customHeight="true" outlineLevel="0" collapsed="false">
      <c r="B6" s="4" t="n">
        <f aca="false">COUNTA(Prospects!$B$2:$B$500)</f>
        <v>2</v>
      </c>
      <c r="C6" s="4" t="n">
        <f aca="false">COUNTIF(Prospects!$J:$J,"Contacted")+COUNTIF(Prospects!$J:$J,"Followed up")+COUNTIF(Prospects!$J:$J,"Replied")+COUNTIF(Prospects!$J:$J,"Demo sent")+COUNTIF(Prospects!$J:$J,"Call booked")+COUNTIF(Prospects!$J:$J,"Won")</f>
        <v>0</v>
      </c>
      <c r="D6" s="4" t="n">
        <f aca="false">COUNTIF(Prospects!$J:$J,"Replied")+COUNTIF(Prospects!$J:$J,"Demo sent")+COUNTIF(Prospects!$J:$J,"Call booked")+COUNTIF(Prospects!$J:$J,"Won")</f>
        <v>0</v>
      </c>
      <c r="E6" s="4" t="n">
        <f aca="false">COUNTIF(Prospects!$J:$J,"Call booked")+COUNTIF(Prospects!$J:$J,"Won")</f>
        <v>0</v>
      </c>
    </row>
    <row r="8" customFormat="false" ht="21.75" hidden="false" customHeight="true" outlineLevel="0" collapsed="false">
      <c r="B8" s="3" t="s">
        <v>6</v>
      </c>
      <c r="C8" s="3" t="s">
        <v>7</v>
      </c>
      <c r="D8" s="3" t="s">
        <v>8</v>
      </c>
      <c r="E8" s="3" t="s">
        <v>9</v>
      </c>
    </row>
    <row r="9" customFormat="false" ht="33.75" hidden="false" customHeight="true" outlineLevel="0" collapsed="false">
      <c r="B9" s="4" t="n">
        <f aca="false">COUNTIF(Prospects!$J:$J,"Won")</f>
        <v>0</v>
      </c>
      <c r="C9" s="5" t="n">
        <f aca="false">SUMIF(Prospects!$R$2:$R$500,"Won*",Prospects!$Q$2:$Q$500)</f>
        <v>0</v>
      </c>
      <c r="D9" s="6" t="n">
        <f aca="false">IFERROR(D6/C6,0)</f>
        <v>0</v>
      </c>
      <c r="E9" s="6" t="n">
        <f aca="false">IFERROR(E6/C6,0)</f>
        <v>0</v>
      </c>
    </row>
    <row r="11" customFormat="false" ht="15" hidden="false" customHeight="false" outlineLevel="0" collapsed="false">
      <c r="B11" s="7" t="s">
        <v>10</v>
      </c>
    </row>
    <row r="12" customFormat="false" ht="15" hidden="false" customHeight="false" outlineLevel="0" collapsed="false">
      <c r="B12" s="8" t="str">
        <f aca="false">COUNTIF(Prospects!$J:$J,"To contact")&amp;" prospects waiting in the Prospects tab"</f>
        <v>2 prospects waiting in the Prospects tab</v>
      </c>
    </row>
    <row r="14" customFormat="false" ht="15" hidden="false" customHeight="true" outlineLevel="0" collapsed="false">
      <c r="B14" s="9" t="s">
        <v>11</v>
      </c>
      <c r="C14" s="9"/>
      <c r="D14" s="9"/>
      <c r="E14" s="9"/>
    </row>
    <row r="15" customFormat="false" ht="15" hidden="false" customHeight="false" outlineLevel="0" collapsed="false">
      <c r="B15" s="9"/>
      <c r="C15" s="9"/>
      <c r="D15" s="9"/>
      <c r="E15" s="9"/>
    </row>
    <row r="16" customFormat="false" ht="15" hidden="false" customHeight="false" outlineLevel="0" collapsed="false">
      <c r="B16" s="9"/>
      <c r="C16" s="9"/>
      <c r="D16" s="9"/>
      <c r="E16" s="9"/>
    </row>
  </sheetData>
  <mergeCells count="1">
    <mergeCell ref="B14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4" min="13" style="0" width="11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8" min="18" style="0" width="16"/>
    <col collapsed="false" customWidth="true" hidden="false" outlineLevel="0" max="19" min="19" style="0" width="34"/>
  </cols>
  <sheetData>
    <row r="1" customFormat="false" ht="25.5" hidden="false" customHeight="true" outlineLevel="0" collapsed="false">
      <c r="A1" s="10" t="s">
        <v>12</v>
      </c>
      <c r="B1" s="10" t="s">
        <v>13</v>
      </c>
      <c r="C1" s="10" t="s">
        <v>14</v>
      </c>
      <c r="D1" s="10" t="s">
        <v>15</v>
      </c>
      <c r="E1" s="10" t="s">
        <v>16</v>
      </c>
      <c r="F1" s="10" t="s">
        <v>17</v>
      </c>
      <c r="G1" s="10" t="s">
        <v>18</v>
      </c>
      <c r="H1" s="10" t="s">
        <v>19</v>
      </c>
      <c r="I1" s="10" t="s">
        <v>20</v>
      </c>
      <c r="J1" s="10" t="s">
        <v>21</v>
      </c>
      <c r="K1" s="10" t="s">
        <v>22</v>
      </c>
      <c r="L1" s="10" t="s">
        <v>23</v>
      </c>
      <c r="M1" s="10" t="s">
        <v>24</v>
      </c>
      <c r="N1" s="10" t="s">
        <v>25</v>
      </c>
      <c r="O1" s="10" t="s">
        <v>26</v>
      </c>
      <c r="P1" s="10" t="s">
        <v>27</v>
      </c>
      <c r="Q1" s="10" t="s">
        <v>28</v>
      </c>
      <c r="R1" s="10" t="s">
        <v>29</v>
      </c>
      <c r="S1" s="10" t="s">
        <v>30</v>
      </c>
    </row>
    <row r="2" customFormat="false" ht="15" hidden="false" customHeight="false" outlineLevel="0" collapsed="false">
      <c r="A2" s="11" t="s">
        <v>31</v>
      </c>
      <c r="B2" s="12" t="s">
        <v>32</v>
      </c>
      <c r="C2" s="11" t="s">
        <v>33</v>
      </c>
      <c r="D2" s="11" t="s">
        <v>34</v>
      </c>
      <c r="E2" s="11" t="s">
        <v>35</v>
      </c>
      <c r="F2" s="12" t="s">
        <v>36</v>
      </c>
      <c r="G2" s="11" t="s">
        <v>37</v>
      </c>
      <c r="H2" s="11" t="s">
        <v>38</v>
      </c>
      <c r="I2" s="11" t="s">
        <v>39</v>
      </c>
      <c r="J2" s="11" t="s">
        <v>40</v>
      </c>
      <c r="K2" s="11" t="s">
        <v>17</v>
      </c>
      <c r="L2" s="11"/>
      <c r="M2" s="11" t="s">
        <v>41</v>
      </c>
      <c r="N2" s="11" t="s">
        <v>42</v>
      </c>
      <c r="O2" s="11" t="s">
        <v>42</v>
      </c>
      <c r="P2" s="11" t="s">
        <v>42</v>
      </c>
      <c r="Q2" s="13" t="s">
        <v>43</v>
      </c>
      <c r="R2" s="11" t="s">
        <v>44</v>
      </c>
      <c r="S2" s="12" t="s">
        <v>45</v>
      </c>
    </row>
    <row r="3" customFormat="false" ht="15" hidden="false" customHeight="false" outlineLevel="0" collapsed="false">
      <c r="A3" s="14" t="s">
        <v>31</v>
      </c>
      <c r="B3" s="15" t="s">
        <v>46</v>
      </c>
      <c r="C3" s="14" t="s">
        <v>47</v>
      </c>
      <c r="D3" s="14" t="s">
        <v>34</v>
      </c>
      <c r="E3" s="14" t="s">
        <v>48</v>
      </c>
      <c r="F3" s="15"/>
      <c r="G3" s="14" t="s">
        <v>49</v>
      </c>
      <c r="H3" s="14" t="s">
        <v>50</v>
      </c>
      <c r="I3" s="14" t="s">
        <v>51</v>
      </c>
      <c r="J3" s="14" t="s">
        <v>40</v>
      </c>
      <c r="K3" s="14" t="s">
        <v>52</v>
      </c>
      <c r="L3" s="14"/>
      <c r="M3" s="14" t="s">
        <v>41</v>
      </c>
      <c r="N3" s="14" t="s">
        <v>42</v>
      </c>
      <c r="O3" s="14" t="s">
        <v>42</v>
      </c>
      <c r="P3" s="14" t="s">
        <v>42</v>
      </c>
      <c r="Q3" s="16" t="s">
        <v>53</v>
      </c>
      <c r="R3" s="14" t="s">
        <v>44</v>
      </c>
      <c r="S3" s="15" t="s">
        <v>54</v>
      </c>
    </row>
    <row r="4" customFormat="false" ht="15" hidden="false" customHeight="false" outlineLevel="0" collapsed="false">
      <c r="A4" s="11"/>
      <c r="B4" s="12"/>
      <c r="C4" s="11"/>
      <c r="D4" s="11"/>
      <c r="E4" s="11"/>
      <c r="F4" s="12"/>
      <c r="G4" s="11"/>
      <c r="H4" s="11"/>
      <c r="I4" s="11"/>
      <c r="J4" s="11"/>
      <c r="K4" s="11"/>
      <c r="L4" s="11"/>
      <c r="M4" s="11"/>
      <c r="N4" s="11"/>
      <c r="O4" s="11"/>
      <c r="P4" s="11"/>
      <c r="Q4" s="13"/>
      <c r="R4" s="11"/>
      <c r="S4" s="12"/>
    </row>
    <row r="5" customFormat="false" ht="15" hidden="false" customHeight="false" outlineLevel="0" collapsed="false">
      <c r="A5" s="14"/>
      <c r="B5" s="15"/>
      <c r="C5" s="14"/>
      <c r="D5" s="14"/>
      <c r="E5" s="14"/>
      <c r="F5" s="15"/>
      <c r="G5" s="14"/>
      <c r="H5" s="14"/>
      <c r="I5" s="14"/>
      <c r="J5" s="14"/>
      <c r="K5" s="14"/>
      <c r="L5" s="14"/>
      <c r="M5" s="14"/>
      <c r="N5" s="14"/>
      <c r="O5" s="14"/>
      <c r="P5" s="14"/>
      <c r="Q5" s="16"/>
      <c r="R5" s="14"/>
      <c r="S5" s="15"/>
    </row>
    <row r="6" customFormat="false" ht="15" hidden="false" customHeight="false" outlineLevel="0" collapsed="false">
      <c r="A6" s="11"/>
      <c r="B6" s="12"/>
      <c r="C6" s="11"/>
      <c r="D6" s="11"/>
      <c r="E6" s="11"/>
      <c r="F6" s="12"/>
      <c r="G6" s="11"/>
      <c r="H6" s="11"/>
      <c r="I6" s="11"/>
      <c r="J6" s="11"/>
      <c r="K6" s="11"/>
      <c r="L6" s="11"/>
      <c r="M6" s="11"/>
      <c r="N6" s="11"/>
      <c r="O6" s="11"/>
      <c r="P6" s="11"/>
      <c r="Q6" s="13"/>
      <c r="R6" s="11"/>
      <c r="S6" s="12"/>
    </row>
    <row r="7" customFormat="false" ht="15" hidden="false" customHeight="false" outlineLevel="0" collapsed="false">
      <c r="A7" s="14"/>
      <c r="B7" s="15"/>
      <c r="C7" s="14"/>
      <c r="D7" s="14"/>
      <c r="E7" s="14"/>
      <c r="F7" s="15"/>
      <c r="G7" s="14"/>
      <c r="H7" s="14"/>
      <c r="I7" s="14"/>
      <c r="J7" s="14"/>
      <c r="K7" s="14"/>
      <c r="L7" s="14"/>
      <c r="M7" s="14"/>
      <c r="N7" s="14"/>
      <c r="O7" s="14"/>
      <c r="P7" s="14"/>
      <c r="Q7" s="16"/>
      <c r="R7" s="14"/>
      <c r="S7" s="15"/>
    </row>
    <row r="8" customFormat="false" ht="15" hidden="false" customHeight="false" outlineLevel="0" collapsed="false">
      <c r="A8" s="11"/>
      <c r="B8" s="12"/>
      <c r="C8" s="11"/>
      <c r="D8" s="11"/>
      <c r="E8" s="11"/>
      <c r="F8" s="12"/>
      <c r="G8" s="11"/>
      <c r="H8" s="11"/>
      <c r="I8" s="11"/>
      <c r="J8" s="11"/>
      <c r="K8" s="11"/>
      <c r="L8" s="11"/>
      <c r="M8" s="11"/>
      <c r="N8" s="11"/>
      <c r="O8" s="11"/>
      <c r="P8" s="11"/>
      <c r="Q8" s="13"/>
      <c r="R8" s="11"/>
      <c r="S8" s="12"/>
    </row>
    <row r="9" customFormat="false" ht="15" hidden="false" customHeight="false" outlineLevel="0" collapsed="false">
      <c r="A9" s="14"/>
      <c r="B9" s="15"/>
      <c r="C9" s="14"/>
      <c r="D9" s="14"/>
      <c r="E9" s="14"/>
      <c r="F9" s="15"/>
      <c r="G9" s="14"/>
      <c r="H9" s="14"/>
      <c r="I9" s="14"/>
      <c r="J9" s="14"/>
      <c r="K9" s="14"/>
      <c r="L9" s="14"/>
      <c r="M9" s="14"/>
      <c r="N9" s="14"/>
      <c r="O9" s="14"/>
      <c r="P9" s="14"/>
      <c r="Q9" s="16"/>
      <c r="R9" s="14"/>
      <c r="S9" s="15"/>
    </row>
    <row r="10" customFormat="false" ht="15" hidden="false" customHeight="false" outlineLevel="0" collapsed="false">
      <c r="A10" s="11"/>
      <c r="B10" s="12"/>
      <c r="C10" s="11"/>
      <c r="D10" s="11"/>
      <c r="E10" s="11"/>
      <c r="F10" s="12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3"/>
      <c r="R10" s="11"/>
      <c r="S10" s="12"/>
    </row>
    <row r="11" customFormat="false" ht="15" hidden="false" customHeight="false" outlineLevel="0" collapsed="false">
      <c r="A11" s="14"/>
      <c r="B11" s="15"/>
      <c r="C11" s="14"/>
      <c r="D11" s="14"/>
      <c r="E11" s="14"/>
      <c r="F11" s="1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6"/>
      <c r="R11" s="14"/>
      <c r="S11" s="15"/>
    </row>
    <row r="12" customFormat="false" ht="15" hidden="false" customHeight="false" outlineLevel="0" collapsed="false">
      <c r="A12" s="11"/>
      <c r="B12" s="12"/>
      <c r="C12" s="11"/>
      <c r="D12" s="11"/>
      <c r="E12" s="11"/>
      <c r="F12" s="12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3"/>
      <c r="R12" s="11"/>
      <c r="S12" s="12"/>
    </row>
    <row r="13" customFormat="false" ht="15" hidden="false" customHeight="false" outlineLevel="0" collapsed="false">
      <c r="A13" s="14"/>
      <c r="B13" s="15"/>
      <c r="C13" s="14"/>
      <c r="D13" s="14"/>
      <c r="E13" s="14"/>
      <c r="F13" s="1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6"/>
      <c r="R13" s="14"/>
      <c r="S13" s="15"/>
    </row>
    <row r="14" customFormat="false" ht="15" hidden="false" customHeight="false" outlineLevel="0" collapsed="false">
      <c r="A14" s="11"/>
      <c r="B14" s="12"/>
      <c r="C14" s="11"/>
      <c r="D14" s="11"/>
      <c r="E14" s="11"/>
      <c r="F14" s="12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3"/>
      <c r="R14" s="11"/>
      <c r="S14" s="12"/>
    </row>
    <row r="15" customFormat="false" ht="15" hidden="false" customHeight="false" outlineLevel="0" collapsed="false">
      <c r="A15" s="14"/>
      <c r="B15" s="15"/>
      <c r="C15" s="14"/>
      <c r="D15" s="14"/>
      <c r="E15" s="14"/>
      <c r="F15" s="15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6"/>
      <c r="R15" s="14"/>
      <c r="S15" s="15"/>
    </row>
    <row r="16" customFormat="false" ht="15" hidden="false" customHeight="false" outlineLevel="0" collapsed="false">
      <c r="A16" s="11"/>
      <c r="B16" s="12"/>
      <c r="C16" s="11"/>
      <c r="D16" s="11"/>
      <c r="E16" s="11"/>
      <c r="F16" s="12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3"/>
      <c r="R16" s="11"/>
      <c r="S16" s="12"/>
    </row>
    <row r="17" customFormat="false" ht="15" hidden="false" customHeight="false" outlineLevel="0" collapsed="false">
      <c r="A17" s="14"/>
      <c r="B17" s="15"/>
      <c r="C17" s="14"/>
      <c r="D17" s="14"/>
      <c r="E17" s="14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6"/>
      <c r="R17" s="14"/>
      <c r="S17" s="15"/>
    </row>
    <row r="18" customFormat="false" ht="15" hidden="false" customHeight="false" outlineLevel="0" collapsed="false">
      <c r="A18" s="11"/>
      <c r="B18" s="12"/>
      <c r="C18" s="11"/>
      <c r="D18" s="11"/>
      <c r="E18" s="11"/>
      <c r="F18" s="1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3"/>
      <c r="R18" s="11"/>
      <c r="S18" s="12"/>
    </row>
    <row r="19" customFormat="false" ht="15" hidden="false" customHeight="false" outlineLevel="0" collapsed="false">
      <c r="A19" s="14"/>
      <c r="B19" s="15"/>
      <c r="C19" s="14"/>
      <c r="D19" s="14"/>
      <c r="E19" s="14"/>
      <c r="F19" s="15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6"/>
      <c r="R19" s="14"/>
      <c r="S19" s="15"/>
    </row>
    <row r="20" customFormat="false" ht="15" hidden="false" customHeight="false" outlineLevel="0" collapsed="false">
      <c r="A20" s="11"/>
      <c r="B20" s="12"/>
      <c r="C20" s="11"/>
      <c r="D20" s="11"/>
      <c r="E20" s="11"/>
      <c r="F20" s="12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3"/>
      <c r="R20" s="11"/>
      <c r="S20" s="12"/>
    </row>
    <row r="21" customFormat="false" ht="15" hidden="false" customHeight="false" outlineLevel="0" collapsed="false">
      <c r="A21" s="14"/>
      <c r="B21" s="15"/>
      <c r="C21" s="14"/>
      <c r="D21" s="14"/>
      <c r="E21" s="14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6"/>
      <c r="R21" s="14"/>
      <c r="S21" s="15"/>
    </row>
    <row r="22" customFormat="false" ht="15" hidden="false" customHeight="false" outlineLevel="0" collapsed="false">
      <c r="A22" s="11"/>
      <c r="B22" s="12"/>
      <c r="C22" s="11"/>
      <c r="D22" s="11"/>
      <c r="E22" s="11"/>
      <c r="F22" s="12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3"/>
      <c r="R22" s="11"/>
      <c r="S22" s="12"/>
    </row>
    <row r="23" customFormat="false" ht="15" hidden="false" customHeight="false" outlineLevel="0" collapsed="false">
      <c r="A23" s="14"/>
      <c r="B23" s="15"/>
      <c r="C23" s="14"/>
      <c r="D23" s="14"/>
      <c r="E23" s="14"/>
      <c r="F23" s="15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6"/>
      <c r="R23" s="14"/>
      <c r="S23" s="15"/>
    </row>
    <row r="24" customFormat="false" ht="15" hidden="false" customHeight="false" outlineLevel="0" collapsed="false">
      <c r="A24" s="11"/>
      <c r="B24" s="12"/>
      <c r="C24" s="11"/>
      <c r="D24" s="11"/>
      <c r="E24" s="11"/>
      <c r="F24" s="12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3"/>
      <c r="R24" s="11"/>
      <c r="S24" s="12"/>
    </row>
    <row r="25" customFormat="false" ht="15" hidden="false" customHeight="false" outlineLevel="0" collapsed="false">
      <c r="A25" s="14"/>
      <c r="B25" s="15"/>
      <c r="C25" s="14"/>
      <c r="D25" s="14"/>
      <c r="E25" s="14"/>
      <c r="F25" s="15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6"/>
      <c r="R25" s="14"/>
      <c r="S25" s="15"/>
    </row>
    <row r="26" customFormat="false" ht="15" hidden="false" customHeight="false" outlineLevel="0" collapsed="false">
      <c r="A26" s="11"/>
      <c r="B26" s="12"/>
      <c r="C26" s="11"/>
      <c r="D26" s="11"/>
      <c r="E26" s="11"/>
      <c r="F26" s="12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3"/>
      <c r="R26" s="11"/>
      <c r="S26" s="12"/>
    </row>
    <row r="27" customFormat="false" ht="15" hidden="false" customHeight="false" outlineLevel="0" collapsed="false">
      <c r="A27" s="14"/>
      <c r="B27" s="15"/>
      <c r="C27" s="14"/>
      <c r="D27" s="14"/>
      <c r="E27" s="14"/>
      <c r="F27" s="15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6"/>
      <c r="R27" s="14"/>
      <c r="S27" s="15"/>
    </row>
    <row r="28" customFormat="false" ht="15" hidden="false" customHeight="false" outlineLevel="0" collapsed="false">
      <c r="A28" s="11"/>
      <c r="B28" s="12"/>
      <c r="C28" s="11"/>
      <c r="D28" s="11"/>
      <c r="E28" s="11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3"/>
      <c r="R28" s="11"/>
      <c r="S28" s="12"/>
    </row>
    <row r="29" customFormat="false" ht="15" hidden="false" customHeight="false" outlineLevel="0" collapsed="false">
      <c r="A29" s="14"/>
      <c r="B29" s="15"/>
      <c r="C29" s="14"/>
      <c r="D29" s="14"/>
      <c r="E29" s="14"/>
      <c r="F29" s="15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6"/>
      <c r="R29" s="14"/>
      <c r="S29" s="15"/>
    </row>
    <row r="30" customFormat="false" ht="15" hidden="false" customHeight="false" outlineLevel="0" collapsed="false">
      <c r="A30" s="11"/>
      <c r="B30" s="12"/>
      <c r="C30" s="11"/>
      <c r="D30" s="11"/>
      <c r="E30" s="11"/>
      <c r="F30" s="12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3"/>
      <c r="R30" s="11"/>
      <c r="S30" s="12"/>
    </row>
    <row r="31" customFormat="false" ht="15" hidden="false" customHeight="false" outlineLevel="0" collapsed="false">
      <c r="A31" s="14"/>
      <c r="B31" s="15"/>
      <c r="C31" s="14"/>
      <c r="D31" s="14"/>
      <c r="E31" s="14"/>
      <c r="F31" s="15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6"/>
      <c r="R31" s="14"/>
      <c r="S31" s="15"/>
    </row>
    <row r="32" customFormat="false" ht="15" hidden="false" customHeight="false" outlineLevel="0" collapsed="false">
      <c r="A32" s="11"/>
      <c r="B32" s="12"/>
      <c r="C32" s="11"/>
      <c r="D32" s="11"/>
      <c r="E32" s="11"/>
      <c r="F32" s="12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3"/>
      <c r="R32" s="11"/>
      <c r="S32" s="12"/>
    </row>
    <row r="33" customFormat="false" ht="15" hidden="false" customHeight="false" outlineLevel="0" collapsed="false">
      <c r="A33" s="14"/>
      <c r="B33" s="15"/>
      <c r="C33" s="14"/>
      <c r="D33" s="14"/>
      <c r="E33" s="14"/>
      <c r="F33" s="15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6"/>
      <c r="R33" s="14"/>
      <c r="S33" s="15"/>
    </row>
    <row r="34" customFormat="false" ht="15" hidden="false" customHeight="false" outlineLevel="0" collapsed="false">
      <c r="A34" s="11"/>
      <c r="B34" s="12"/>
      <c r="C34" s="11"/>
      <c r="D34" s="11"/>
      <c r="E34" s="11"/>
      <c r="F34" s="12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3"/>
      <c r="R34" s="11"/>
      <c r="S34" s="12"/>
    </row>
    <row r="35" customFormat="false" ht="15" hidden="false" customHeight="false" outlineLevel="0" collapsed="false">
      <c r="A35" s="14"/>
      <c r="B35" s="15"/>
      <c r="C35" s="14"/>
      <c r="D35" s="14"/>
      <c r="E35" s="14"/>
      <c r="F35" s="15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6"/>
      <c r="R35" s="14"/>
      <c r="S35" s="15"/>
    </row>
    <row r="36" customFormat="false" ht="15" hidden="false" customHeight="false" outlineLevel="0" collapsed="false">
      <c r="A36" s="11"/>
      <c r="B36" s="12"/>
      <c r="C36" s="11"/>
      <c r="D36" s="11"/>
      <c r="E36" s="11"/>
      <c r="F36" s="12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3"/>
      <c r="R36" s="11"/>
      <c r="S36" s="12"/>
    </row>
    <row r="37" customFormat="false" ht="15" hidden="false" customHeight="false" outlineLevel="0" collapsed="false">
      <c r="A37" s="14"/>
      <c r="B37" s="15"/>
      <c r="C37" s="14"/>
      <c r="D37" s="14"/>
      <c r="E37" s="14"/>
      <c r="F37" s="15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6"/>
      <c r="R37" s="14"/>
      <c r="S37" s="15"/>
    </row>
    <row r="38" customFormat="false" ht="15" hidden="false" customHeight="false" outlineLevel="0" collapsed="false">
      <c r="A38" s="11"/>
      <c r="B38" s="12"/>
      <c r="C38" s="11"/>
      <c r="D38" s="11"/>
      <c r="E38" s="11"/>
      <c r="F38" s="12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3"/>
      <c r="R38" s="11"/>
      <c r="S38" s="12"/>
    </row>
    <row r="39" customFormat="false" ht="15" hidden="false" customHeight="false" outlineLevel="0" collapsed="false">
      <c r="A39" s="14"/>
      <c r="B39" s="15"/>
      <c r="C39" s="14"/>
      <c r="D39" s="14"/>
      <c r="E39" s="14"/>
      <c r="F39" s="15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6"/>
      <c r="R39" s="14"/>
      <c r="S39" s="15"/>
    </row>
    <row r="40" customFormat="false" ht="15" hidden="false" customHeight="false" outlineLevel="0" collapsed="false">
      <c r="A40" s="11"/>
      <c r="B40" s="12"/>
      <c r="C40" s="11"/>
      <c r="D40" s="11"/>
      <c r="E40" s="11"/>
      <c r="F40" s="12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3"/>
      <c r="R40" s="11"/>
      <c r="S40" s="12"/>
    </row>
    <row r="41" customFormat="false" ht="15" hidden="false" customHeight="false" outlineLevel="0" collapsed="false">
      <c r="A41" s="14"/>
      <c r="B41" s="15"/>
      <c r="C41" s="14"/>
      <c r="D41" s="14"/>
      <c r="E41" s="14"/>
      <c r="F41" s="15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6"/>
      <c r="R41" s="14"/>
      <c r="S41" s="15"/>
    </row>
    <row r="42" customFormat="false" ht="15" hidden="false" customHeight="false" outlineLevel="0" collapsed="false">
      <c r="A42" s="11"/>
      <c r="B42" s="12"/>
      <c r="C42" s="11"/>
      <c r="D42" s="11"/>
      <c r="E42" s="11"/>
      <c r="F42" s="12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3"/>
      <c r="R42" s="11"/>
      <c r="S42" s="12"/>
    </row>
    <row r="43" customFormat="false" ht="15" hidden="false" customHeight="false" outlineLevel="0" collapsed="false">
      <c r="A43" s="14"/>
      <c r="B43" s="15"/>
      <c r="C43" s="14"/>
      <c r="D43" s="14"/>
      <c r="E43" s="14"/>
      <c r="F43" s="15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6"/>
      <c r="R43" s="14"/>
      <c r="S43" s="15"/>
    </row>
  </sheetData>
  <dataValidations count="8">
    <dataValidation allowBlank="true" errorStyle="stop" operator="between" showDropDown="false" showErrorMessage="false" showInputMessage="false" sqref="C2:C500" type="list">
      <formula1>"Plumber,HVAC,Electrician,Roofer,Landscaper,Med spa,Salon,Barber,Gym,Auto detailing,Cleaner,Dentist,Chiropractor,Other"</formula1>
      <formula2>0</formula2>
    </dataValidation>
    <dataValidation allowBlank="true" errorStyle="stop" operator="between" showDropDown="false" showErrorMessage="false" showInputMessage="false" sqref="J2:J500" type="list">
      <formula1>"To contact,Contacted,Followed up,Replied,Demo sent,Call booked,Won,Lost,Not a fit"</formula1>
      <formula2>0</formula2>
    </dataValidation>
    <dataValidation allowBlank="true" errorStyle="stop" operator="between" showDropDown="false" showErrorMessage="false" showInputMessage="false" sqref="K2:K500" type="list">
      <formula1>"Email,IG DM,FB DM,Call,In person"</formula1>
      <formula2>0</formula2>
    </dataValidation>
    <dataValidation allowBlank="true" errorStyle="stop" operator="between" showDropDown="false" showErrorMessage="false" showInputMessage="false" sqref="N2:N500" type="list">
      <formula1>"Yes,No"</formula1>
      <formula2>0</formula2>
    </dataValidation>
    <dataValidation allowBlank="true" errorStyle="stop" operator="between" showDropDown="false" showErrorMessage="false" showInputMessage="false" sqref="O2:O500" type="list">
      <formula1>"Yes,No"</formula1>
      <formula2>0</formula2>
    </dataValidation>
    <dataValidation allowBlank="true" errorStyle="stop" operator="between" showDropDown="false" showErrorMessage="false" showInputMessage="false" sqref="P2:P500" type="list">
      <formula1>"Yes,No"</formula1>
      <formula2>0</formula2>
    </dataValidation>
    <dataValidation allowBlank="true" errorStyle="stop" operator="between" showDropDown="false" showErrorMessage="false" showInputMessage="false" sqref="I2:I500" type="list">
      <formula1>"Y,N"</formula1>
      <formula2>0</formula2>
    </dataValidation>
    <dataValidation allowBlank="true" errorStyle="stop" operator="between" showDropDown="false" showErrorMessage="false" showInputMessage="false" sqref="R2:R500" type="list">
      <formula1>"Lead,Audit booked,Proposal sent,Won $300,Won $500-1500,Maintenance,Lost"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6"/>
  </cols>
  <sheetData>
    <row r="2" customFormat="false" ht="18.55" hidden="false" customHeight="false" outlineLevel="0" collapsed="false">
      <c r="B2" s="17" t="s">
        <v>55</v>
      </c>
    </row>
    <row r="4" customFormat="false" ht="18" hidden="false" customHeight="true" outlineLevel="0" collapsed="false">
      <c r="B4" s="18" t="s">
        <v>56</v>
      </c>
    </row>
    <row r="5" customFormat="false" ht="30" hidden="false" customHeight="true" outlineLevel="0" collapsed="false">
      <c r="B5" s="19" t="s">
        <v>57</v>
      </c>
    </row>
    <row r="6" customFormat="false" ht="18" hidden="false" customHeight="true" outlineLevel="0" collapsed="false">
      <c r="B6" s="18" t="s">
        <v>58</v>
      </c>
    </row>
    <row r="7" customFormat="false" ht="30" hidden="false" customHeight="true" outlineLevel="0" collapsed="false">
      <c r="B7" s="19" t="s">
        <v>59</v>
      </c>
    </row>
    <row r="8" customFormat="false" ht="18" hidden="false" customHeight="true" outlineLevel="0" collapsed="false">
      <c r="B8" s="18" t="s">
        <v>60</v>
      </c>
    </row>
    <row r="9" customFormat="false" ht="30" hidden="false" customHeight="true" outlineLevel="0" collapsed="false">
      <c r="B9" s="19" t="s">
        <v>61</v>
      </c>
    </row>
    <row r="10" customFormat="false" ht="18" hidden="false" customHeight="true" outlineLevel="0" collapsed="false">
      <c r="B10" s="18" t="s">
        <v>62</v>
      </c>
    </row>
    <row r="11" customFormat="false" ht="30" hidden="false" customHeight="true" outlineLevel="0" collapsed="false">
      <c r="B11" s="19" t="s">
        <v>63</v>
      </c>
    </row>
    <row r="12" customFormat="false" ht="18" hidden="false" customHeight="true" outlineLevel="0" collapsed="false">
      <c r="B12" s="18" t="s">
        <v>64</v>
      </c>
    </row>
    <row r="13" customFormat="false" ht="30" hidden="false" customHeight="true" outlineLevel="0" collapsed="false">
      <c r="B13" s="19" t="s">
        <v>65</v>
      </c>
    </row>
    <row r="14" customFormat="false" ht="18" hidden="false" customHeight="true" outlineLevel="0" collapsed="false">
      <c r="B14" s="18" t="s">
        <v>66</v>
      </c>
    </row>
    <row r="15" customFormat="false" ht="30" hidden="false" customHeight="true" outlineLevel="0" collapsed="false">
      <c r="B15" s="19" t="s">
        <v>67</v>
      </c>
    </row>
    <row r="16" customFormat="false" ht="18" hidden="false" customHeight="true" outlineLevel="0" collapsed="false">
      <c r="B16" s="20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2026-06-17T20:21:41Z</dcterms:created>
  <dc:creator>openpyxl</dc:creator>
  <dc:description/>
  <dc:language>en-US</dc:language>
  <cp:lastModifiedBy/>
  <dcterms:modified xsi:type="dcterms:W3CDTF">2026-06-17T20:21:41Z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